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mt_q\Desktop\chiba\VBA\github\ファイル間集計\"/>
    </mc:Choice>
  </mc:AlternateContent>
  <xr:revisionPtr revIDLastSave="0" documentId="13_ncr:1_{1F1F21DF-F9BB-4276-94FD-B6AA11430839}" xr6:coauthVersionLast="47" xr6:coauthVersionMax="47" xr10:uidLastSave="{00000000-0000-0000-0000-000000000000}"/>
  <bookViews>
    <workbookView xWindow="-120" yWindow="-120" windowWidth="20730" windowHeight="11160" tabRatio="814" xr2:uid="{00000000-000D-0000-FFFF-FFFF00000000}"/>
  </bookViews>
  <sheets>
    <sheet name="製品群3_月次集計" sheetId="9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90" l="1"/>
  <c r="D12" i="90"/>
  <c r="D11" i="90"/>
  <c r="D10" i="90"/>
  <c r="D9" i="90"/>
  <c r="D7" i="90"/>
  <c r="D6" i="90"/>
  <c r="D4" i="90"/>
  <c r="O11" i="90"/>
  <c r="N11" i="90"/>
  <c r="M11" i="90"/>
  <c r="L11" i="90"/>
  <c r="K11" i="90"/>
  <c r="J11" i="90"/>
  <c r="I11" i="90"/>
  <c r="H11" i="90"/>
  <c r="G11" i="90"/>
  <c r="F11" i="90"/>
  <c r="E11" i="90"/>
  <c r="O8" i="90"/>
  <c r="D8" i="90" s="1"/>
  <c r="N8" i="90"/>
  <c r="M8" i="90"/>
  <c r="L8" i="90"/>
  <c r="K8" i="90"/>
  <c r="J8" i="90"/>
  <c r="I8" i="90"/>
  <c r="H8" i="90"/>
  <c r="G8" i="90"/>
  <c r="F8" i="90"/>
  <c r="E8" i="90"/>
  <c r="E5" i="90"/>
  <c r="G5" i="90"/>
  <c r="H5" i="90"/>
  <c r="I5" i="90"/>
  <c r="J5" i="90"/>
  <c r="K5" i="90"/>
  <c r="L5" i="90"/>
  <c r="M5" i="90"/>
  <c r="N5" i="90"/>
  <c r="O5" i="90"/>
  <c r="D5" i="90" s="1"/>
  <c r="F5" i="90"/>
</calcChain>
</file>

<file path=xl/sharedStrings.xml><?xml version="1.0" encoding="utf-8"?>
<sst xmlns="http://schemas.openxmlformats.org/spreadsheetml/2006/main" count="25" uniqueCount="20">
  <si>
    <t>材料単品廃棄数</t>
    <phoneticPr fontId="7"/>
  </si>
  <si>
    <t>コピー用</t>
    <rPh sb="3" eb="4">
      <t>ヨウ</t>
    </rPh>
    <phoneticPr fontId="1"/>
  </si>
  <si>
    <t>検査</t>
    <rPh sb="0" eb="2">
      <t>ケンサ</t>
    </rPh>
    <phoneticPr fontId="6"/>
  </si>
  <si>
    <t>投入数</t>
    <rPh sb="0" eb="2">
      <t>トウニュウ</t>
    </rPh>
    <rPh sb="2" eb="3">
      <t>スウ</t>
    </rPh>
    <phoneticPr fontId="8"/>
  </si>
  <si>
    <t>合格数</t>
    <rPh sb="0" eb="2">
      <t>ゴウカク</t>
    </rPh>
    <rPh sb="2" eb="3">
      <t>スウ</t>
    </rPh>
    <phoneticPr fontId="8"/>
  </si>
  <si>
    <t>不良数</t>
    <rPh sb="0" eb="2">
      <t>フリョウ</t>
    </rPh>
    <rPh sb="2" eb="3">
      <t>スウ</t>
    </rPh>
    <phoneticPr fontId="8"/>
  </si>
  <si>
    <t>製品群3</t>
    <rPh sb="0" eb="2">
      <t>セイヒン</t>
    </rPh>
    <rPh sb="2" eb="3">
      <t>グン</t>
    </rPh>
    <phoneticPr fontId="1"/>
  </si>
  <si>
    <t>製品群3-1</t>
    <rPh sb="0" eb="3">
      <t>セイヒングン</t>
    </rPh>
    <phoneticPr fontId="1"/>
  </si>
  <si>
    <t>製品群3-2</t>
    <rPh sb="0" eb="3">
      <t>セイヒングン</t>
    </rPh>
    <phoneticPr fontId="1"/>
  </si>
  <si>
    <t>製品群3-3</t>
    <rPh sb="0" eb="3">
      <t>セイヒングン</t>
    </rPh>
    <phoneticPr fontId="1"/>
  </si>
  <si>
    <t>製品群3-4</t>
    <rPh sb="0" eb="3">
      <t>セイヒングン</t>
    </rPh>
    <phoneticPr fontId="1"/>
  </si>
  <si>
    <t>製品群3-5</t>
    <rPh sb="0" eb="3">
      <t>セイヒングン</t>
    </rPh>
    <phoneticPr fontId="1"/>
  </si>
  <si>
    <t>製品群3-6</t>
    <rPh sb="0" eb="3">
      <t>セイヒングン</t>
    </rPh>
    <phoneticPr fontId="1"/>
  </si>
  <si>
    <t>製品群3-7</t>
    <rPh sb="0" eb="3">
      <t>セイヒングン</t>
    </rPh>
    <phoneticPr fontId="1"/>
  </si>
  <si>
    <t>製品群3-8</t>
    <rPh sb="0" eb="3">
      <t>セイヒングン</t>
    </rPh>
    <phoneticPr fontId="1"/>
  </si>
  <si>
    <t>製品群3-9</t>
    <rPh sb="0" eb="3">
      <t>セイヒングン</t>
    </rPh>
    <phoneticPr fontId="1"/>
  </si>
  <si>
    <t>製品群3-10</t>
    <rPh sb="0" eb="3">
      <t>セイヒングン</t>
    </rPh>
    <phoneticPr fontId="1"/>
  </si>
  <si>
    <t>不良数</t>
    <rPh sb="0" eb="2">
      <t>フリョウ</t>
    </rPh>
    <rPh sb="2" eb="3">
      <t>スウ</t>
    </rPh>
    <phoneticPr fontId="1"/>
  </si>
  <si>
    <t>工程1</t>
    <rPh sb="0" eb="2">
      <t>コウテイ</t>
    </rPh>
    <phoneticPr fontId="6"/>
  </si>
  <si>
    <t>工程2</t>
    <rPh sb="0" eb="2">
      <t>コウテイ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</si>
</sst>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メイリオ"/>
      <family val="2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6"/>
      <name val="メイリオ"/>
      <family val="2"/>
      <charset val="128"/>
    </font>
    <font>
      <b/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76" fontId="4" fillId="0" borderId="0" xfId="4" applyNumberFormat="1" applyFont="1">
      <alignment vertical="center"/>
    </xf>
    <xf numFmtId="0" fontId="4" fillId="0" borderId="0" xfId="4" applyFont="1" applyAlignment="1">
      <alignment horizontal="center" vertical="center" textRotation="90" wrapText="1"/>
    </xf>
    <xf numFmtId="0" fontId="4" fillId="0" borderId="5" xfId="4" applyFont="1" applyBorder="1" applyAlignment="1">
      <alignment horizontal="center" vertical="center" textRotation="90" wrapText="1"/>
    </xf>
    <xf numFmtId="176" fontId="4" fillId="0" borderId="1" xfId="4" applyNumberFormat="1" applyFont="1" applyBorder="1">
      <alignment vertical="center"/>
    </xf>
    <xf numFmtId="0" fontId="4" fillId="0" borderId="0" xfId="4" applyFont="1">
      <alignment vertical="center"/>
    </xf>
    <xf numFmtId="176" fontId="4" fillId="0" borderId="6" xfId="4" applyNumberFormat="1" applyFont="1" applyBorder="1" applyAlignment="1">
      <alignment vertical="center" textRotation="255" wrapText="1"/>
    </xf>
    <xf numFmtId="176" fontId="4" fillId="0" borderId="3" xfId="4" applyNumberFormat="1" applyFont="1" applyBorder="1">
      <alignment vertical="center"/>
    </xf>
    <xf numFmtId="176" fontId="4" fillId="0" borderId="4" xfId="4" applyNumberFormat="1" applyFont="1" applyBorder="1">
      <alignment vertical="center"/>
    </xf>
    <xf numFmtId="176" fontId="4" fillId="0" borderId="7" xfId="4" applyNumberFormat="1" applyFont="1" applyBorder="1">
      <alignment vertical="center"/>
    </xf>
    <xf numFmtId="0" fontId="4" fillId="0" borderId="0" xfId="4" applyFont="1" applyAlignment="1">
      <alignment horizontal="center" vertical="center" wrapText="1"/>
    </xf>
    <xf numFmtId="176" fontId="4" fillId="0" borderId="1" xfId="4" applyNumberFormat="1" applyFont="1" applyBorder="1" applyAlignment="1">
      <alignment horizontal="center" vertical="center" textRotation="255"/>
    </xf>
    <xf numFmtId="176" fontId="4" fillId="0" borderId="3" xfId="4" applyNumberFormat="1" applyFont="1" applyBorder="1" applyAlignment="1">
      <alignment horizontal="center" vertical="center" textRotation="255" wrapText="1"/>
    </xf>
    <xf numFmtId="176" fontId="4" fillId="0" borderId="2" xfId="4" applyNumberFormat="1" applyFont="1" applyBorder="1" applyAlignment="1">
      <alignment horizontal="center" vertical="center" textRotation="255" wrapText="1"/>
    </xf>
  </cellXfs>
  <cellStyles count="6">
    <cellStyle name="パーセント 2" xfId="5" xr:uid="{46692CAC-2C58-4ABB-9950-9499333A8300}"/>
    <cellStyle name="ハイパーリンク 2" xfId="2" xr:uid="{D14A286F-675A-4CA0-9F55-DF08C33DB9AA}"/>
    <cellStyle name="桁区切り 2" xfId="3" xr:uid="{A25E3904-8825-42E3-A5F6-CD393F438C87}"/>
    <cellStyle name="標準" xfId="0" builtinId="0"/>
    <cellStyle name="標準 2" xfId="1" xr:uid="{77DFD4BA-6FF3-4986-AB86-1CA3038F7580}"/>
    <cellStyle name="標準 2 2" xfId="4" xr:uid="{A1B02C4C-1684-4CC8-9E69-70A869B86158}"/>
  </cellStyles>
  <dxfs count="0"/>
  <tableStyles count="0" defaultTableStyle="TableStyleMedium2" defaultPivotStyle="PivotStyleLight16"/>
  <colors>
    <mruColors>
      <color rgb="FFCCFFCC"/>
      <color rgb="FFB6FB8F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210-0066-404C-841F-393149D2A3C7}">
  <sheetPr codeName="Sheet3"/>
  <dimension ref="B2:O14"/>
  <sheetViews>
    <sheetView tabSelected="1" topLeftCell="A3" zoomScaleNormal="100" workbookViewId="0">
      <pane ySplit="1" topLeftCell="A4" activePane="bottomLeft" state="frozen"/>
      <selection activeCell="A3" sqref="A3"/>
      <selection pane="bottomLeft" activeCell="B3" sqref="B3"/>
    </sheetView>
  </sheetViews>
  <sheetFormatPr defaultColWidth="9" defaultRowHeight="13.5" x14ac:dyDescent="0.15"/>
  <cols>
    <col min="1" max="1" width="0.875" style="1" customWidth="1"/>
    <col min="2" max="2" width="4.25" style="1" customWidth="1"/>
    <col min="3" max="3" width="20.5" style="1" customWidth="1"/>
    <col min="4" max="4" width="8.75" style="1" bestFit="1" customWidth="1"/>
    <col min="5" max="5" width="7.125" style="1" customWidth="1"/>
    <col min="6" max="56" width="7.625" style="1" customWidth="1"/>
    <col min="57" max="16384" width="9" style="1"/>
  </cols>
  <sheetData>
    <row r="2" spans="2:15" ht="14.25" thickBot="1" x14ac:dyDescent="0.2"/>
    <row r="3" spans="2:15" s="2" customFormat="1" ht="101.25" customHeight="1" x14ac:dyDescent="0.15">
      <c r="C3" s="10" t="s">
        <v>6</v>
      </c>
      <c r="E3" s="3" t="s">
        <v>1</v>
      </c>
      <c r="F3" s="3" t="s">
        <v>7</v>
      </c>
      <c r="G3" s="3" t="s">
        <v>8</v>
      </c>
      <c r="H3" s="3" t="s">
        <v>9</v>
      </c>
      <c r="I3" s="3" t="s">
        <v>10</v>
      </c>
      <c r="J3" s="3" t="s">
        <v>11</v>
      </c>
      <c r="K3" s="3" t="s">
        <v>12</v>
      </c>
      <c r="L3" s="3" t="s">
        <v>13</v>
      </c>
      <c r="M3" s="3" t="s">
        <v>14</v>
      </c>
      <c r="N3" s="3" t="s">
        <v>15</v>
      </c>
      <c r="O3" s="3" t="s">
        <v>16</v>
      </c>
    </row>
    <row r="4" spans="2:15" ht="13.5" customHeight="1" x14ac:dyDescent="0.15">
      <c r="B4" s="11" t="s">
        <v>18</v>
      </c>
      <c r="C4" s="7" t="s">
        <v>3</v>
      </c>
      <c r="D4" s="7">
        <f>SUM($F$4:$O$4)</f>
        <v>20200</v>
      </c>
      <c r="E4" s="7"/>
      <c r="F4" s="7">
        <v>3000</v>
      </c>
      <c r="G4" s="7">
        <v>0</v>
      </c>
      <c r="H4" s="7">
        <v>0</v>
      </c>
      <c r="I4" s="7">
        <v>0</v>
      </c>
      <c r="J4" s="7">
        <v>0</v>
      </c>
      <c r="K4" s="7">
        <v>1000</v>
      </c>
      <c r="L4" s="7">
        <v>0</v>
      </c>
      <c r="M4" s="7">
        <v>700</v>
      </c>
      <c r="N4" s="7">
        <v>13000</v>
      </c>
      <c r="O4" s="7">
        <v>2500</v>
      </c>
    </row>
    <row r="5" spans="2:15" ht="13.5" customHeight="1" x14ac:dyDescent="0.15">
      <c r="B5" s="11"/>
      <c r="C5" s="9" t="s">
        <v>4</v>
      </c>
      <c r="D5" s="9">
        <f>SUM($F$5:$O$5)</f>
        <v>20200</v>
      </c>
      <c r="E5" s="9">
        <f>E4-E6</f>
        <v>0</v>
      </c>
      <c r="F5" s="9">
        <f>F4-F6</f>
        <v>3000</v>
      </c>
      <c r="G5" s="9">
        <f t="shared" ref="G5:O5" si="0">G4-G6</f>
        <v>0</v>
      </c>
      <c r="H5" s="9">
        <f t="shared" si="0"/>
        <v>0</v>
      </c>
      <c r="I5" s="9">
        <f t="shared" si="0"/>
        <v>0</v>
      </c>
      <c r="J5" s="9">
        <f t="shared" si="0"/>
        <v>0</v>
      </c>
      <c r="K5" s="9">
        <f t="shared" si="0"/>
        <v>1000</v>
      </c>
      <c r="L5" s="9">
        <f t="shared" si="0"/>
        <v>0</v>
      </c>
      <c r="M5" s="9">
        <f t="shared" si="0"/>
        <v>700</v>
      </c>
      <c r="N5" s="9">
        <f t="shared" si="0"/>
        <v>13000</v>
      </c>
      <c r="O5" s="9">
        <f t="shared" si="0"/>
        <v>2500</v>
      </c>
    </row>
    <row r="6" spans="2:15" x14ac:dyDescent="0.15">
      <c r="B6" s="11"/>
      <c r="C6" s="8" t="s">
        <v>5</v>
      </c>
      <c r="D6" s="8">
        <f>SUM($F$6:$O$6)</f>
        <v>0</v>
      </c>
      <c r="E6" s="8"/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</row>
    <row r="7" spans="2:15" x14ac:dyDescent="0.15">
      <c r="B7" s="11" t="s">
        <v>19</v>
      </c>
      <c r="C7" s="7" t="s">
        <v>3</v>
      </c>
      <c r="D7" s="7">
        <f>SUM($F$7:$O$7)</f>
        <v>20200</v>
      </c>
      <c r="E7" s="7"/>
      <c r="F7" s="7">
        <v>3000</v>
      </c>
      <c r="G7" s="7">
        <v>0</v>
      </c>
      <c r="H7" s="7">
        <v>0</v>
      </c>
      <c r="I7" s="7">
        <v>0</v>
      </c>
      <c r="J7" s="7">
        <v>0</v>
      </c>
      <c r="K7" s="7">
        <v>1000</v>
      </c>
      <c r="L7" s="7">
        <v>0</v>
      </c>
      <c r="M7" s="7">
        <v>700</v>
      </c>
      <c r="N7" s="7">
        <v>13000</v>
      </c>
      <c r="O7" s="7">
        <v>2500</v>
      </c>
    </row>
    <row r="8" spans="2:15" x14ac:dyDescent="0.15">
      <c r="B8" s="11"/>
      <c r="C8" s="9" t="s">
        <v>4</v>
      </c>
      <c r="D8" s="9">
        <f>SUM($F$8:$O$8)</f>
        <v>20172</v>
      </c>
      <c r="E8" s="9">
        <f>E7-E9</f>
        <v>0</v>
      </c>
      <c r="F8" s="9">
        <f>F7-F9</f>
        <v>2998</v>
      </c>
      <c r="G8" s="9">
        <f t="shared" ref="G8" si="1">G7-G9</f>
        <v>0</v>
      </c>
      <c r="H8" s="9">
        <f t="shared" ref="H8" si="2">H7-H9</f>
        <v>0</v>
      </c>
      <c r="I8" s="9">
        <f t="shared" ref="I8" si="3">I7-I9</f>
        <v>0</v>
      </c>
      <c r="J8" s="9">
        <f t="shared" ref="J8" si="4">J7-J9</f>
        <v>0</v>
      </c>
      <c r="K8" s="9">
        <f t="shared" ref="K8" si="5">K7-K9</f>
        <v>999</v>
      </c>
      <c r="L8" s="9">
        <f t="shared" ref="L8" si="6">L7-L9</f>
        <v>0</v>
      </c>
      <c r="M8" s="9">
        <f t="shared" ref="M8" si="7">M7-M9</f>
        <v>700</v>
      </c>
      <c r="N8" s="9">
        <f t="shared" ref="N8" si="8">N7-N9</f>
        <v>12985</v>
      </c>
      <c r="O8" s="9">
        <f t="shared" ref="O8" si="9">O7-O9</f>
        <v>2490</v>
      </c>
    </row>
    <row r="9" spans="2:15" x14ac:dyDescent="0.15">
      <c r="B9" s="11"/>
      <c r="C9" s="8" t="s">
        <v>5</v>
      </c>
      <c r="D9" s="8">
        <f>SUM($F$9:$O$9)</f>
        <v>28</v>
      </c>
      <c r="E9" s="8"/>
      <c r="F9" s="8">
        <v>2</v>
      </c>
      <c r="G9" s="8">
        <v>0</v>
      </c>
      <c r="H9" s="8">
        <v>0</v>
      </c>
      <c r="I9" s="8">
        <v>0</v>
      </c>
      <c r="J9" s="8">
        <v>0</v>
      </c>
      <c r="K9" s="8">
        <v>1</v>
      </c>
      <c r="L9" s="8">
        <v>0</v>
      </c>
      <c r="M9" s="8">
        <v>0</v>
      </c>
      <c r="N9" s="8">
        <v>15</v>
      </c>
      <c r="O9" s="8">
        <v>10</v>
      </c>
    </row>
    <row r="10" spans="2:15" ht="13.5" customHeight="1" x14ac:dyDescent="0.15">
      <c r="B10" s="12" t="s">
        <v>2</v>
      </c>
      <c r="C10" s="7" t="s">
        <v>3</v>
      </c>
      <c r="D10" s="7">
        <f>SUM($F$10:$O$10)</f>
        <v>20172</v>
      </c>
      <c r="E10" s="7"/>
      <c r="F10" s="7">
        <v>2998</v>
      </c>
      <c r="G10" s="7">
        <v>0</v>
      </c>
      <c r="H10" s="7">
        <v>0</v>
      </c>
      <c r="I10" s="7">
        <v>0</v>
      </c>
      <c r="J10" s="7">
        <v>0</v>
      </c>
      <c r="K10" s="7">
        <v>999</v>
      </c>
      <c r="L10" s="7">
        <v>0</v>
      </c>
      <c r="M10" s="7">
        <v>700</v>
      </c>
      <c r="N10" s="7">
        <v>12985</v>
      </c>
      <c r="O10" s="7">
        <v>2490</v>
      </c>
    </row>
    <row r="11" spans="2:15" x14ac:dyDescent="0.15">
      <c r="B11" s="13"/>
      <c r="C11" s="9" t="s">
        <v>4</v>
      </c>
      <c r="D11" s="9">
        <f>SUM($F$11:$O$11)</f>
        <v>20147</v>
      </c>
      <c r="E11" s="9">
        <f>E10-E12</f>
        <v>0</v>
      </c>
      <c r="F11" s="9">
        <f>F10-F12</f>
        <v>2998</v>
      </c>
      <c r="G11" s="9">
        <f t="shared" ref="G11" si="10">G10-G12</f>
        <v>0</v>
      </c>
      <c r="H11" s="9">
        <f t="shared" ref="H11" si="11">H10-H12</f>
        <v>0</v>
      </c>
      <c r="I11" s="9">
        <f t="shared" ref="I11" si="12">I10-I12</f>
        <v>0</v>
      </c>
      <c r="J11" s="9">
        <f t="shared" ref="J11" si="13">J10-J12</f>
        <v>0</v>
      </c>
      <c r="K11" s="9">
        <f t="shared" ref="K11" si="14">K10-K12</f>
        <v>999</v>
      </c>
      <c r="L11" s="9">
        <f t="shared" ref="L11" si="15">L10-L12</f>
        <v>0</v>
      </c>
      <c r="M11" s="9">
        <f t="shared" ref="M11" si="16">M10-M12</f>
        <v>700</v>
      </c>
      <c r="N11" s="9">
        <f t="shared" ref="N11" si="17">N10-N12</f>
        <v>12960</v>
      </c>
      <c r="O11" s="9">
        <f t="shared" ref="O11" si="18">O10-O12</f>
        <v>2490</v>
      </c>
    </row>
    <row r="12" spans="2:15" x14ac:dyDescent="0.15">
      <c r="B12" s="13"/>
      <c r="C12" s="8" t="s">
        <v>17</v>
      </c>
      <c r="D12" s="8">
        <f>SUM($F$12:$O$12)</f>
        <v>25</v>
      </c>
      <c r="E12" s="8"/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25</v>
      </c>
      <c r="O12" s="8">
        <v>0</v>
      </c>
    </row>
    <row r="13" spans="2:15" x14ac:dyDescent="0.15">
      <c r="B13" s="6"/>
      <c r="C13" s="4" t="s">
        <v>0</v>
      </c>
      <c r="D13" s="4">
        <f>SUM($F$13:$O$13)</f>
        <v>28</v>
      </c>
      <c r="E13" s="4"/>
      <c r="F13" s="4">
        <v>10</v>
      </c>
      <c r="G13" s="4">
        <v>0</v>
      </c>
      <c r="H13" s="4">
        <v>0</v>
      </c>
      <c r="I13" s="4">
        <v>0</v>
      </c>
      <c r="J13" s="4">
        <v>0</v>
      </c>
      <c r="K13" s="4">
        <v>5</v>
      </c>
      <c r="L13" s="4">
        <v>0</v>
      </c>
      <c r="M13" s="4">
        <v>3</v>
      </c>
      <c r="N13" s="4">
        <v>10</v>
      </c>
      <c r="O13" s="4">
        <v>0</v>
      </c>
    </row>
    <row r="14" spans="2:15" x14ac:dyDescent="0.15">
      <c r="E14" s="5"/>
    </row>
  </sheetData>
  <mergeCells count="3">
    <mergeCell ref="B7:B9"/>
    <mergeCell ref="B4:B6"/>
    <mergeCell ref="B10:B12"/>
  </mergeCells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製品群3_月次集計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HAYASHI</dc:creator>
  <cp:lastModifiedBy>takahiro chiba</cp:lastModifiedBy>
  <cp:lastPrinted>2023-03-01T04:57:24Z</cp:lastPrinted>
  <dcterms:created xsi:type="dcterms:W3CDTF">2017-12-11T07:27:43Z</dcterms:created>
  <dcterms:modified xsi:type="dcterms:W3CDTF">2025-10-06T07:21:05Z</dcterms:modified>
</cp:coreProperties>
</file>