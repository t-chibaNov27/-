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mt_q\Desktop\chiba\VBA\github\ファイル間集計\"/>
    </mc:Choice>
  </mc:AlternateContent>
  <xr:revisionPtr revIDLastSave="0" documentId="13_ncr:1_{54396222-4B27-4978-8F18-B0E5449FDAAF}" xr6:coauthVersionLast="47" xr6:coauthVersionMax="47" xr10:uidLastSave="{00000000-0000-0000-0000-000000000000}"/>
  <bookViews>
    <workbookView xWindow="-28920" yWindow="-2715" windowWidth="29040" windowHeight="15840" xr2:uid="{A2710880-44A0-455F-971C-9832639E0923}"/>
  </bookViews>
  <sheets>
    <sheet name="製品群1_月次集計" sheetId="29" r:id="rId1"/>
    <sheet name="使い方" sheetId="34" r:id="rId2"/>
  </sheets>
  <functionGroups builtInGroupCount="19"/>
  <definedNames>
    <definedName name="Z_2F6A8EEA_DA4A_44E7_8CAE_2EF9CB72C89A_.wvu.Rows" localSheetId="0" hidden="1">製品群1_月次集計!#REF!,製品群1_月次集計!#REF!,製品群1_月次集計!#REF!</definedName>
    <definedName name="Z_5DD6E7F9_FCD6_4A41_B998_3A7F505738CB_.wvu.Rows" localSheetId="0" hidden="1">製品群1_月次集計!#REF!,製品群1_月次集計!#REF!,製品群1_月次集計!#REF!</definedName>
    <definedName name="Z_B096E3B2_DD3A_4D80_BC43_F303E11B7AF7_.wvu.Rows" localSheetId="0" hidden="1">製品群1_月次集計!#REF!,製品群1_月次集計!#REF!,製品群1_月次集計!#REF!</definedName>
    <definedName name="Z_BD680883_126B_4F89_B37B_6E9A30BA6E71_.wvu.Rows" localSheetId="0" hidden="1">製品群1_月次集計!#REF!,製品群1_月次集計!#REF!,製品群1_月次集計!#REF!</definedName>
    <definedName name="Z_DA074E20_B463_4821_BB10_068A10DF6192_.wvu.Rows" localSheetId="0" hidden="1">製品群1_月次集計!#REF!,製品群1_月次集計!#REF!,製品群1_月次集計!#REF!</definedName>
    <definedName name="Z_E2DE46FE_F26A_4002_9CD3_9E4DF1463BB4_.wvu.Rows" localSheetId="0" hidden="1">製品群1_月次集計!#REF!,製品群1_月次集計!#REF!,製品群1_月次集計!#REF!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1" i="29" l="1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F11" i="29"/>
  <c r="E11" i="29"/>
  <c r="X8" i="29"/>
  <c r="W8" i="29"/>
  <c r="V8" i="29"/>
  <c r="U8" i="29"/>
  <c r="T8" i="29"/>
  <c r="S8" i="29"/>
  <c r="R8" i="29"/>
  <c r="Q8" i="29"/>
  <c r="P8" i="29"/>
  <c r="O8" i="29"/>
  <c r="N8" i="29"/>
  <c r="M8" i="29"/>
  <c r="L8" i="29"/>
  <c r="K8" i="29"/>
  <c r="J8" i="29"/>
  <c r="I8" i="29"/>
  <c r="H8" i="29"/>
  <c r="G8" i="29"/>
  <c r="F8" i="29"/>
  <c r="E8" i="29"/>
  <c r="F5" i="29"/>
  <c r="G5" i="29"/>
  <c r="H5" i="29"/>
  <c r="I5" i="29"/>
  <c r="J5" i="29"/>
  <c r="K5" i="29"/>
  <c r="L5" i="29"/>
  <c r="M5" i="29"/>
  <c r="N5" i="29"/>
  <c r="O5" i="29"/>
  <c r="P5" i="29"/>
  <c r="Q5" i="29"/>
  <c r="R5" i="29"/>
  <c r="S5" i="29"/>
  <c r="T5" i="29"/>
  <c r="U5" i="29"/>
  <c r="V5" i="29"/>
  <c r="W5" i="29"/>
  <c r="X5" i="29"/>
  <c r="E5" i="29"/>
  <c r="D13" i="29" l="1"/>
  <c r="D12" i="29"/>
  <c r="D11" i="29"/>
  <c r="D10" i="29"/>
  <c r="D9" i="29"/>
  <c r="D8" i="29"/>
  <c r="D7" i="29"/>
  <c r="D6" i="29"/>
  <c r="D5" i="29"/>
  <c r="D4" i="29"/>
</calcChain>
</file>

<file path=xl/sharedStrings.xml><?xml version="1.0" encoding="utf-8"?>
<sst xmlns="http://schemas.openxmlformats.org/spreadsheetml/2006/main" count="36" uniqueCount="30">
  <si>
    <t>投入数</t>
    <rPh sb="0" eb="2">
      <t>トウニュウ</t>
    </rPh>
    <rPh sb="2" eb="3">
      <t>スウ</t>
    </rPh>
    <phoneticPr fontId="6"/>
  </si>
  <si>
    <t>合格数</t>
    <rPh sb="0" eb="2">
      <t>ゴウカク</t>
    </rPh>
    <rPh sb="2" eb="3">
      <t>スウ</t>
    </rPh>
    <phoneticPr fontId="6"/>
  </si>
  <si>
    <t>不良数</t>
    <rPh sb="0" eb="2">
      <t>フリョウ</t>
    </rPh>
    <rPh sb="2" eb="3">
      <t>スウ</t>
    </rPh>
    <phoneticPr fontId="6"/>
  </si>
  <si>
    <t>材料単品廃棄数</t>
    <phoneticPr fontId="2"/>
  </si>
  <si>
    <t>コピー用</t>
    <rPh sb="3" eb="4">
      <t>ヨウ</t>
    </rPh>
    <phoneticPr fontId="2"/>
  </si>
  <si>
    <t>製品群1</t>
    <rPh sb="0" eb="3">
      <t>セイヒングン</t>
    </rPh>
    <phoneticPr fontId="2"/>
  </si>
  <si>
    <t>製品群1-1</t>
    <rPh sb="0" eb="3">
      <t>セイヒングン</t>
    </rPh>
    <phoneticPr fontId="2"/>
  </si>
  <si>
    <t>製品群1-2</t>
    <rPh sb="0" eb="3">
      <t>セイヒングン</t>
    </rPh>
    <phoneticPr fontId="2"/>
  </si>
  <si>
    <t>製品群1-3</t>
    <rPh sb="0" eb="3">
      <t>セイヒングン</t>
    </rPh>
    <phoneticPr fontId="2"/>
  </si>
  <si>
    <t>製品群1-4</t>
    <rPh sb="0" eb="3">
      <t>セイヒングン</t>
    </rPh>
    <phoneticPr fontId="2"/>
  </si>
  <si>
    <t>製品群1-5</t>
    <rPh sb="0" eb="3">
      <t>セイヒングン</t>
    </rPh>
    <phoneticPr fontId="2"/>
  </si>
  <si>
    <t>製品群1-6</t>
    <rPh sb="0" eb="3">
      <t>セイヒングン</t>
    </rPh>
    <phoneticPr fontId="2"/>
  </si>
  <si>
    <t>製品群1-7</t>
    <rPh sb="0" eb="3">
      <t>セイヒングン</t>
    </rPh>
    <phoneticPr fontId="2"/>
  </si>
  <si>
    <t>製品群1-8</t>
    <rPh sb="0" eb="3">
      <t>セイヒングン</t>
    </rPh>
    <phoneticPr fontId="2"/>
  </si>
  <si>
    <t>製品群1-9</t>
    <rPh sb="0" eb="3">
      <t>セイヒングン</t>
    </rPh>
    <phoneticPr fontId="2"/>
  </si>
  <si>
    <t>製品群1-10</t>
    <rPh sb="0" eb="3">
      <t>セイヒングン</t>
    </rPh>
    <phoneticPr fontId="2"/>
  </si>
  <si>
    <t>製品群1-11</t>
    <rPh sb="0" eb="3">
      <t>セイヒングン</t>
    </rPh>
    <phoneticPr fontId="2"/>
  </si>
  <si>
    <t>製品群1-12</t>
    <rPh sb="0" eb="3">
      <t>セイヒングン</t>
    </rPh>
    <phoneticPr fontId="2"/>
  </si>
  <si>
    <t>製品群1-13</t>
    <rPh sb="0" eb="3">
      <t>セイヒングン</t>
    </rPh>
    <phoneticPr fontId="2"/>
  </si>
  <si>
    <t>製品群1-14</t>
    <rPh sb="0" eb="3">
      <t>セイヒングン</t>
    </rPh>
    <phoneticPr fontId="2"/>
  </si>
  <si>
    <t>製品群1-15</t>
    <rPh sb="0" eb="3">
      <t>セイヒングン</t>
    </rPh>
    <phoneticPr fontId="2"/>
  </si>
  <si>
    <t>製品群1-16</t>
    <rPh sb="0" eb="3">
      <t>セイヒングン</t>
    </rPh>
    <phoneticPr fontId="2"/>
  </si>
  <si>
    <t>製品群1-17</t>
    <rPh sb="0" eb="3">
      <t>セイヒングン</t>
    </rPh>
    <phoneticPr fontId="2"/>
  </si>
  <si>
    <t>製品群1-18</t>
    <rPh sb="0" eb="3">
      <t>セイヒングン</t>
    </rPh>
    <phoneticPr fontId="2"/>
  </si>
  <si>
    <t>製品群1-19</t>
    <rPh sb="0" eb="3">
      <t>セイヒングン</t>
    </rPh>
    <phoneticPr fontId="2"/>
  </si>
  <si>
    <t>検査</t>
    <rPh sb="0" eb="2">
      <t>ケンサ</t>
    </rPh>
    <phoneticPr fontId="6"/>
  </si>
  <si>
    <t>工程1</t>
    <rPh sb="0" eb="2">
      <t>コウテイ</t>
    </rPh>
    <phoneticPr fontId="6"/>
  </si>
  <si>
    <t>工程2</t>
    <rPh sb="0" eb="2">
      <t>コウテイ</t>
    </rPh>
    <phoneticPr fontId="6"/>
  </si>
  <si>
    <t>ボタンを押すと全製品群（1～3）までの実績を1ファイルに集計、別ファイルで年度別に保存する</t>
    <rPh sb="4" eb="5">
      <t>オ</t>
    </rPh>
    <rPh sb="7" eb="8">
      <t>ゼン</t>
    </rPh>
    <rPh sb="8" eb="11">
      <t>セイヒングン</t>
    </rPh>
    <rPh sb="19" eb="21">
      <t>ジッセキ</t>
    </rPh>
    <rPh sb="28" eb="30">
      <t>シュウケイ</t>
    </rPh>
    <rPh sb="31" eb="32">
      <t>ベツ</t>
    </rPh>
    <rPh sb="37" eb="39">
      <t>ネンド</t>
    </rPh>
    <rPh sb="39" eb="40">
      <t>ベツ</t>
    </rPh>
    <rPh sb="41" eb="43">
      <t>ホゾン</t>
    </rPh>
    <phoneticPr fontId="2"/>
  </si>
  <si>
    <t>生産実績がない製品は非表示となる</t>
    <rPh sb="0" eb="2">
      <t>セイサン</t>
    </rPh>
    <rPh sb="2" eb="4">
      <t>ジッセキ</t>
    </rPh>
    <rPh sb="7" eb="9">
      <t>セイヒン</t>
    </rPh>
    <rPh sb="10" eb="13">
      <t>ヒヒョウジ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</si>
</sst>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7" x14ac:knownFonts="1">
    <font>
      <sz val="11"/>
      <name val="ＭＳ Ｐゴシック"/>
      <family val="3"/>
      <charset val="128"/>
    </font>
    <font>
      <sz val="11"/>
      <color theme="1"/>
      <name val="メイリオ"/>
      <family val="2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6" fontId="4" fillId="0" borderId="0" xfId="3" applyNumberFormat="1" applyFont="1">
      <alignment vertical="center"/>
    </xf>
    <xf numFmtId="176" fontId="4" fillId="0" borderId="10" xfId="3" applyNumberFormat="1" applyFont="1" applyBorder="1">
      <alignment vertical="center"/>
    </xf>
    <xf numFmtId="0" fontId="4" fillId="0" borderId="10" xfId="3" applyFont="1" applyBorder="1" applyAlignment="1">
      <alignment horizontal="center" vertical="center" textRotation="90" wrapText="1"/>
    </xf>
    <xf numFmtId="0" fontId="4" fillId="0" borderId="6" xfId="3" applyFont="1" applyBorder="1" applyAlignment="1">
      <alignment horizontal="center" vertical="center" textRotation="90" wrapText="1"/>
    </xf>
    <xf numFmtId="0" fontId="4" fillId="0" borderId="0" xfId="3" applyFont="1" applyAlignment="1">
      <alignment horizontal="center" vertical="center" textRotation="90" wrapText="1"/>
    </xf>
    <xf numFmtId="176" fontId="4" fillId="0" borderId="11" xfId="3" applyNumberFormat="1" applyFont="1" applyBorder="1">
      <alignment vertical="center"/>
    </xf>
    <xf numFmtId="176" fontId="4" fillId="0" borderId="8" xfId="3" applyNumberFormat="1" applyFont="1" applyBorder="1">
      <alignment vertical="center"/>
    </xf>
    <xf numFmtId="176" fontId="4" fillId="0" borderId="15" xfId="3" applyNumberFormat="1" applyFont="1" applyBorder="1">
      <alignment vertical="center"/>
    </xf>
    <xf numFmtId="176" fontId="4" fillId="0" borderId="12" xfId="3" applyNumberFormat="1" applyFont="1" applyBorder="1">
      <alignment vertical="center"/>
    </xf>
    <xf numFmtId="176" fontId="4" fillId="0" borderId="7" xfId="3" applyNumberFormat="1" applyFont="1" applyBorder="1">
      <alignment vertical="center"/>
    </xf>
    <xf numFmtId="176" fontId="4" fillId="0" borderId="9" xfId="3" applyNumberFormat="1" applyFont="1" applyBorder="1">
      <alignment vertical="center"/>
    </xf>
    <xf numFmtId="176" fontId="4" fillId="0" borderId="5" xfId="3" applyNumberFormat="1" applyFont="1" applyBorder="1">
      <alignment vertical="center"/>
    </xf>
    <xf numFmtId="176" fontId="4" fillId="0" borderId="13" xfId="3" applyNumberFormat="1" applyFont="1" applyBorder="1">
      <alignment vertical="center"/>
    </xf>
    <xf numFmtId="176" fontId="4" fillId="0" borderId="3" xfId="3" applyNumberFormat="1" applyFont="1" applyBorder="1">
      <alignment vertical="center"/>
    </xf>
    <xf numFmtId="176" fontId="4" fillId="0" borderId="4" xfId="3" applyNumberFormat="1" applyFont="1" applyBorder="1">
      <alignment vertical="center"/>
    </xf>
    <xf numFmtId="176" fontId="4" fillId="0" borderId="14" xfId="3" applyNumberFormat="1" applyFont="1" applyBorder="1">
      <alignment vertical="center"/>
    </xf>
    <xf numFmtId="176" fontId="4" fillId="0" borderId="1" xfId="3" applyNumberFormat="1" applyFont="1" applyBorder="1">
      <alignment vertical="center"/>
    </xf>
    <xf numFmtId="176" fontId="4" fillId="0" borderId="2" xfId="3" applyNumberFormat="1" applyFont="1" applyBorder="1">
      <alignment vertical="center"/>
    </xf>
    <xf numFmtId="0" fontId="4" fillId="0" borderId="1" xfId="3" applyFont="1" applyBorder="1" applyAlignment="1">
      <alignment horizontal="center" vertical="center" textRotation="90" wrapText="1"/>
    </xf>
    <xf numFmtId="176" fontId="4" fillId="0" borderId="16" xfId="3" applyNumberFormat="1" applyFont="1" applyBorder="1">
      <alignment vertical="center"/>
    </xf>
    <xf numFmtId="176" fontId="4" fillId="0" borderId="9" xfId="3" applyNumberFormat="1" applyFont="1" applyBorder="1" applyAlignment="1">
      <alignment horizontal="center" vertical="center" textRotation="255"/>
    </xf>
    <xf numFmtId="176" fontId="4" fillId="0" borderId="1" xfId="3" applyNumberFormat="1" applyFont="1" applyBorder="1" applyAlignment="1">
      <alignment horizontal="center" vertical="center" textRotation="255"/>
    </xf>
    <xf numFmtId="0" fontId="4" fillId="0" borderId="10" xfId="3" applyFont="1" applyBorder="1" applyAlignment="1">
      <alignment horizontal="center" vertical="center" wrapText="1"/>
    </xf>
    <xf numFmtId="0" fontId="4" fillId="0" borderId="17" xfId="3" applyFont="1" applyBorder="1" applyAlignment="1">
      <alignment horizontal="center" vertical="center" textRotation="90" wrapText="1"/>
    </xf>
    <xf numFmtId="176" fontId="4" fillId="0" borderId="17" xfId="3" applyNumberFormat="1" applyFont="1" applyBorder="1">
      <alignment vertical="center"/>
    </xf>
  </cellXfs>
  <cellStyles count="5">
    <cellStyle name="パーセント 2" xfId="2" xr:uid="{FA504ADE-3AD1-4325-A571-1DE949BEF9D6}"/>
    <cellStyle name="パーセント 2 2" xfId="4" xr:uid="{2759B0B5-9A71-4BE3-BA16-0D32D89284F6}"/>
    <cellStyle name="標準" xfId="0" builtinId="0"/>
    <cellStyle name="標準 2" xfId="1" xr:uid="{90812E58-514A-4E46-98B7-FF8E2AF2156A}"/>
    <cellStyle name="標準 2 2" xfId="3" xr:uid="{26BBDD36-C744-4AC3-8D32-1BEB9630B236}"/>
  </cellStyles>
  <dxfs count="0"/>
  <tableStyles count="0" defaultTableStyle="TableStyleMedium2" defaultPivotStyle="PivotStyleLight16"/>
  <colors>
    <mruColors>
      <color rgb="FF99FF33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771525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月次集計ファイル作成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476508</xdr:colOff>
      <xdr:row>3</xdr:row>
      <xdr:rowOff>142943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BFFB1702-6FD2-775A-4509-15B1E8366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71450"/>
          <a:ext cx="1848108" cy="4858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96B83-CC4A-4676-ABCF-609D8997CB9C}">
  <sheetPr codeName="Sheet1"/>
  <dimension ref="B2:X13"/>
  <sheetViews>
    <sheetView tabSelected="1" topLeftCell="A3" zoomScaleNormal="100" workbookViewId="0">
      <pane xSplit="4" ySplit="1" topLeftCell="E4" activePane="bottomRight" state="frozen"/>
      <selection activeCell="H9" sqref="H9"/>
      <selection pane="topRight" activeCell="H9" sqref="H9"/>
      <selection pane="bottomLeft" activeCell="H9" sqref="H9"/>
      <selection pane="bottomRight" activeCell="H16" sqref="H16"/>
    </sheetView>
  </sheetViews>
  <sheetFormatPr defaultColWidth="9" defaultRowHeight="13.5" x14ac:dyDescent="0.15"/>
  <cols>
    <col min="1" max="1" width="3.625" style="1" customWidth="1"/>
    <col min="2" max="2" width="4.25" style="1" customWidth="1"/>
    <col min="3" max="3" width="20.5" style="1" customWidth="1"/>
    <col min="4" max="4" width="8.75" style="1" bestFit="1" customWidth="1"/>
    <col min="5" max="24" width="7.125" style="1" customWidth="1"/>
    <col min="25" max="16384" width="9" style="1"/>
  </cols>
  <sheetData>
    <row r="2" spans="2:24" x14ac:dyDescent="0.15">
      <c r="E2" s="2"/>
    </row>
    <row r="3" spans="2:24" s="5" customFormat="1" ht="101.25" customHeight="1" x14ac:dyDescent="0.15">
      <c r="B3" s="3"/>
      <c r="C3" s="23" t="s">
        <v>5</v>
      </c>
      <c r="D3" s="4"/>
      <c r="E3" s="19" t="s">
        <v>4</v>
      </c>
      <c r="F3" s="24" t="s">
        <v>6</v>
      </c>
      <c r="G3" s="24" t="s">
        <v>7</v>
      </c>
      <c r="H3" s="24" t="s">
        <v>8</v>
      </c>
      <c r="I3" s="24" t="s">
        <v>9</v>
      </c>
      <c r="J3" s="24" t="s">
        <v>10</v>
      </c>
      <c r="K3" s="24" t="s">
        <v>11</v>
      </c>
      <c r="L3" s="24" t="s">
        <v>12</v>
      </c>
      <c r="M3" s="24" t="s">
        <v>13</v>
      </c>
      <c r="N3" s="24" t="s">
        <v>14</v>
      </c>
      <c r="O3" s="24" t="s">
        <v>15</v>
      </c>
      <c r="P3" s="24" t="s">
        <v>16</v>
      </c>
      <c r="Q3" s="24" t="s">
        <v>17</v>
      </c>
      <c r="R3" s="24" t="s">
        <v>18</v>
      </c>
      <c r="S3" s="24" t="s">
        <v>19</v>
      </c>
      <c r="T3" s="24" t="s">
        <v>20</v>
      </c>
      <c r="U3" s="24" t="s">
        <v>21</v>
      </c>
      <c r="V3" s="24" t="s">
        <v>22</v>
      </c>
      <c r="W3" s="24" t="s">
        <v>23</v>
      </c>
      <c r="X3" s="24" t="s">
        <v>24</v>
      </c>
    </row>
    <row r="4" spans="2:24" ht="13.5" customHeight="1" x14ac:dyDescent="0.15">
      <c r="B4" s="21" t="s">
        <v>26</v>
      </c>
      <c r="C4" s="6" t="s">
        <v>0</v>
      </c>
      <c r="D4" s="7">
        <f>SUM($F$4:$X$4)</f>
        <v>8170</v>
      </c>
      <c r="E4" s="8"/>
      <c r="F4" s="8">
        <v>60</v>
      </c>
      <c r="G4" s="8">
        <v>60</v>
      </c>
      <c r="H4" s="8">
        <v>650</v>
      </c>
      <c r="I4" s="8">
        <v>2820</v>
      </c>
      <c r="J4" s="8">
        <v>90</v>
      </c>
      <c r="K4" s="8">
        <v>10</v>
      </c>
      <c r="L4" s="8">
        <v>1000</v>
      </c>
      <c r="M4" s="8">
        <v>1000</v>
      </c>
      <c r="N4" s="8">
        <v>130</v>
      </c>
      <c r="O4" s="8">
        <v>90</v>
      </c>
      <c r="P4" s="8">
        <v>362</v>
      </c>
      <c r="Q4" s="8">
        <v>75</v>
      </c>
      <c r="R4" s="8">
        <v>1000</v>
      </c>
      <c r="S4" s="8">
        <v>20</v>
      </c>
      <c r="T4" s="8">
        <v>99</v>
      </c>
      <c r="U4" s="8">
        <v>464</v>
      </c>
      <c r="V4" s="8">
        <v>50</v>
      </c>
      <c r="W4" s="8">
        <v>40</v>
      </c>
      <c r="X4" s="8">
        <v>150</v>
      </c>
    </row>
    <row r="5" spans="2:24" ht="13.5" customHeight="1" x14ac:dyDescent="0.15">
      <c r="B5" s="22"/>
      <c r="C5" s="9" t="s">
        <v>1</v>
      </c>
      <c r="D5" s="10">
        <f>SUM($F$5:$X$5)</f>
        <v>8140</v>
      </c>
      <c r="E5" s="20">
        <f>E4-E6</f>
        <v>0</v>
      </c>
      <c r="F5" s="20">
        <f t="shared" ref="F5:X5" si="0">F4-F6</f>
        <v>60</v>
      </c>
      <c r="G5" s="20">
        <f t="shared" si="0"/>
        <v>60</v>
      </c>
      <c r="H5" s="20">
        <f t="shared" si="0"/>
        <v>640</v>
      </c>
      <c r="I5" s="20">
        <f t="shared" si="0"/>
        <v>2814</v>
      </c>
      <c r="J5" s="20">
        <f t="shared" si="0"/>
        <v>81</v>
      </c>
      <c r="K5" s="20">
        <f t="shared" si="0"/>
        <v>10</v>
      </c>
      <c r="L5" s="20">
        <f t="shared" si="0"/>
        <v>997</v>
      </c>
      <c r="M5" s="20">
        <f t="shared" si="0"/>
        <v>999</v>
      </c>
      <c r="N5" s="20">
        <f t="shared" si="0"/>
        <v>129</v>
      </c>
      <c r="O5" s="20">
        <f t="shared" si="0"/>
        <v>90</v>
      </c>
      <c r="P5" s="20">
        <f t="shared" si="0"/>
        <v>362</v>
      </c>
      <c r="Q5" s="20">
        <f t="shared" si="0"/>
        <v>75</v>
      </c>
      <c r="R5" s="20">
        <f t="shared" si="0"/>
        <v>1000</v>
      </c>
      <c r="S5" s="20">
        <f t="shared" si="0"/>
        <v>20</v>
      </c>
      <c r="T5" s="20">
        <f t="shared" si="0"/>
        <v>99</v>
      </c>
      <c r="U5" s="20">
        <f t="shared" si="0"/>
        <v>464</v>
      </c>
      <c r="V5" s="20">
        <f t="shared" si="0"/>
        <v>50</v>
      </c>
      <c r="W5" s="20">
        <f t="shared" si="0"/>
        <v>40</v>
      </c>
      <c r="X5" s="20">
        <f t="shared" si="0"/>
        <v>150</v>
      </c>
    </row>
    <row r="6" spans="2:24" x14ac:dyDescent="0.15">
      <c r="B6" s="22"/>
      <c r="C6" s="11" t="s">
        <v>2</v>
      </c>
      <c r="D6" s="12">
        <f>SUM($F$6:$X$6)</f>
        <v>30</v>
      </c>
      <c r="E6" s="11"/>
      <c r="F6" s="11">
        <v>0</v>
      </c>
      <c r="G6" s="11">
        <v>0</v>
      </c>
      <c r="H6" s="11">
        <v>10</v>
      </c>
      <c r="I6" s="11">
        <v>6</v>
      </c>
      <c r="J6" s="11">
        <v>9</v>
      </c>
      <c r="K6" s="11">
        <v>0</v>
      </c>
      <c r="L6" s="11">
        <v>3</v>
      </c>
      <c r="M6" s="11">
        <v>1</v>
      </c>
      <c r="N6" s="11">
        <v>1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</row>
    <row r="7" spans="2:24" x14ac:dyDescent="0.15">
      <c r="B7" s="22" t="s">
        <v>27</v>
      </c>
      <c r="C7" s="13" t="s">
        <v>0</v>
      </c>
      <c r="D7" s="14">
        <f>SUM($F$7:$X$7)</f>
        <v>8140</v>
      </c>
      <c r="E7" s="13"/>
      <c r="F7" s="13">
        <v>60</v>
      </c>
      <c r="G7" s="13">
        <v>60</v>
      </c>
      <c r="H7" s="13">
        <v>640</v>
      </c>
      <c r="I7" s="13">
        <v>2814</v>
      </c>
      <c r="J7" s="13">
        <v>81</v>
      </c>
      <c r="K7" s="13">
        <v>10</v>
      </c>
      <c r="L7" s="13">
        <v>997</v>
      </c>
      <c r="M7" s="13">
        <v>999</v>
      </c>
      <c r="N7" s="13">
        <v>129</v>
      </c>
      <c r="O7" s="13">
        <v>90</v>
      </c>
      <c r="P7" s="13">
        <v>362</v>
      </c>
      <c r="Q7" s="13">
        <v>75</v>
      </c>
      <c r="R7" s="13">
        <v>1000</v>
      </c>
      <c r="S7" s="13">
        <v>20</v>
      </c>
      <c r="T7" s="13">
        <v>99</v>
      </c>
      <c r="U7" s="13">
        <v>464</v>
      </c>
      <c r="V7" s="13">
        <v>50</v>
      </c>
      <c r="W7" s="13">
        <v>40</v>
      </c>
      <c r="X7" s="13">
        <v>150</v>
      </c>
    </row>
    <row r="8" spans="2:24" x14ac:dyDescent="0.15">
      <c r="B8" s="22"/>
      <c r="C8" s="9" t="s">
        <v>1</v>
      </c>
      <c r="D8" s="15">
        <f>SUM($F$8:$X$8)</f>
        <v>8101</v>
      </c>
      <c r="E8" s="20">
        <f>E7-E9</f>
        <v>0</v>
      </c>
      <c r="F8" s="20">
        <f t="shared" ref="F8" si="1">F7-F9</f>
        <v>60</v>
      </c>
      <c r="G8" s="20">
        <f t="shared" ref="G8" si="2">G7-G9</f>
        <v>60</v>
      </c>
      <c r="H8" s="20">
        <f t="shared" ref="H8" si="3">H7-H9</f>
        <v>631</v>
      </c>
      <c r="I8" s="20">
        <f t="shared" ref="I8" si="4">I7-I9</f>
        <v>2801</v>
      </c>
      <c r="J8" s="20">
        <f t="shared" ref="J8" si="5">J7-J9</f>
        <v>81</v>
      </c>
      <c r="K8" s="20">
        <f t="shared" ref="K8" si="6">K7-K9</f>
        <v>10</v>
      </c>
      <c r="L8" s="20">
        <f t="shared" ref="L8" si="7">L7-L9</f>
        <v>996</v>
      </c>
      <c r="M8" s="20">
        <f t="shared" ref="M8" si="8">M7-M9</f>
        <v>996</v>
      </c>
      <c r="N8" s="20">
        <f t="shared" ref="N8" si="9">N7-N9</f>
        <v>129</v>
      </c>
      <c r="O8" s="20">
        <f t="shared" ref="O8" si="10">O7-O9</f>
        <v>90</v>
      </c>
      <c r="P8" s="20">
        <f t="shared" ref="P8" si="11">P7-P9</f>
        <v>362</v>
      </c>
      <c r="Q8" s="20">
        <f t="shared" ref="Q8" si="12">Q7-Q9</f>
        <v>72</v>
      </c>
      <c r="R8" s="20">
        <f t="shared" ref="R8" si="13">R7-R9</f>
        <v>994</v>
      </c>
      <c r="S8" s="20">
        <f t="shared" ref="S8" si="14">S7-S9</f>
        <v>20</v>
      </c>
      <c r="T8" s="20">
        <f t="shared" ref="T8" si="15">T7-T9</f>
        <v>99</v>
      </c>
      <c r="U8" s="20">
        <f t="shared" ref="U8" si="16">U7-U9</f>
        <v>463</v>
      </c>
      <c r="V8" s="20">
        <f t="shared" ref="V8" si="17">V7-V9</f>
        <v>50</v>
      </c>
      <c r="W8" s="20">
        <f t="shared" ref="W8" si="18">W7-W9</f>
        <v>37</v>
      </c>
      <c r="X8" s="20">
        <f t="shared" ref="X8" si="19">X7-X9</f>
        <v>150</v>
      </c>
    </row>
    <row r="9" spans="2:24" x14ac:dyDescent="0.15">
      <c r="B9" s="22"/>
      <c r="C9" s="9" t="s">
        <v>2</v>
      </c>
      <c r="D9" s="15">
        <f>SUM($F$9:$X$9)</f>
        <v>39</v>
      </c>
      <c r="E9" s="9"/>
      <c r="F9" s="9">
        <v>0</v>
      </c>
      <c r="G9" s="9">
        <v>0</v>
      </c>
      <c r="H9" s="9">
        <v>9</v>
      </c>
      <c r="I9" s="9">
        <v>13</v>
      </c>
      <c r="J9" s="9">
        <v>0</v>
      </c>
      <c r="K9" s="9">
        <v>0</v>
      </c>
      <c r="L9" s="9">
        <v>1</v>
      </c>
      <c r="M9" s="9">
        <v>3</v>
      </c>
      <c r="N9" s="9">
        <v>0</v>
      </c>
      <c r="O9" s="9">
        <v>0</v>
      </c>
      <c r="P9" s="9">
        <v>0</v>
      </c>
      <c r="Q9" s="9">
        <v>3</v>
      </c>
      <c r="R9" s="9">
        <v>6</v>
      </c>
      <c r="S9" s="9">
        <v>0</v>
      </c>
      <c r="T9" s="9">
        <v>0</v>
      </c>
      <c r="U9" s="9">
        <v>1</v>
      </c>
      <c r="V9" s="9">
        <v>0</v>
      </c>
      <c r="W9" s="9">
        <v>3</v>
      </c>
      <c r="X9" s="9">
        <v>0</v>
      </c>
    </row>
    <row r="10" spans="2:24" x14ac:dyDescent="0.15">
      <c r="B10" s="22" t="s">
        <v>25</v>
      </c>
      <c r="C10" s="13" t="s">
        <v>0</v>
      </c>
      <c r="D10" s="14">
        <f>SUM($F$10:$X$10)</f>
        <v>8101</v>
      </c>
      <c r="E10" s="13"/>
      <c r="F10" s="13">
        <v>60</v>
      </c>
      <c r="G10" s="13">
        <v>60</v>
      </c>
      <c r="H10" s="13">
        <v>631</v>
      </c>
      <c r="I10" s="13">
        <v>2801</v>
      </c>
      <c r="J10" s="13">
        <v>81</v>
      </c>
      <c r="K10" s="13">
        <v>10</v>
      </c>
      <c r="L10" s="13">
        <v>996</v>
      </c>
      <c r="M10" s="13">
        <v>996</v>
      </c>
      <c r="N10" s="13">
        <v>129</v>
      </c>
      <c r="O10" s="13">
        <v>90</v>
      </c>
      <c r="P10" s="13">
        <v>362</v>
      </c>
      <c r="Q10" s="13">
        <v>72</v>
      </c>
      <c r="R10" s="13">
        <v>994</v>
      </c>
      <c r="S10" s="13">
        <v>20</v>
      </c>
      <c r="T10" s="13">
        <v>99</v>
      </c>
      <c r="U10" s="13">
        <v>463</v>
      </c>
      <c r="V10" s="13">
        <v>50</v>
      </c>
      <c r="W10" s="13">
        <v>37</v>
      </c>
      <c r="X10" s="13">
        <v>150</v>
      </c>
    </row>
    <row r="11" spans="2:24" x14ac:dyDescent="0.15">
      <c r="B11" s="22"/>
      <c r="C11" s="9" t="s">
        <v>1</v>
      </c>
      <c r="D11" s="15">
        <f>SUM($F$11:$X$11)</f>
        <v>8091</v>
      </c>
      <c r="E11" s="20">
        <f>E10-E12</f>
        <v>0</v>
      </c>
      <c r="F11" s="20">
        <f t="shared" ref="F11" si="20">F10-F12</f>
        <v>60</v>
      </c>
      <c r="G11" s="20">
        <f t="shared" ref="G11" si="21">G10-G12</f>
        <v>60</v>
      </c>
      <c r="H11" s="20">
        <f t="shared" ref="H11" si="22">H10-H12</f>
        <v>629</v>
      </c>
      <c r="I11" s="20">
        <f t="shared" ref="I11" si="23">I10-I12</f>
        <v>2800</v>
      </c>
      <c r="J11" s="20">
        <f t="shared" ref="J11" si="24">J10-J12</f>
        <v>81</v>
      </c>
      <c r="K11" s="20">
        <f t="shared" ref="K11" si="25">K10-K12</f>
        <v>10</v>
      </c>
      <c r="L11" s="20">
        <f t="shared" ref="L11" si="26">L10-L12</f>
        <v>993</v>
      </c>
      <c r="M11" s="20">
        <f t="shared" ref="M11" si="27">M10-M12</f>
        <v>996</v>
      </c>
      <c r="N11" s="20">
        <f t="shared" ref="N11" si="28">N10-N12</f>
        <v>128</v>
      </c>
      <c r="O11" s="20">
        <f t="shared" ref="O11" si="29">O10-O12</f>
        <v>90</v>
      </c>
      <c r="P11" s="20">
        <f t="shared" ref="P11" si="30">P10-P12</f>
        <v>362</v>
      </c>
      <c r="Q11" s="20">
        <f t="shared" ref="Q11" si="31">Q10-Q12</f>
        <v>72</v>
      </c>
      <c r="R11" s="20">
        <f t="shared" ref="R11" si="32">R10-R12</f>
        <v>992</v>
      </c>
      <c r="S11" s="20">
        <f t="shared" ref="S11" si="33">S10-S12</f>
        <v>20</v>
      </c>
      <c r="T11" s="20">
        <f t="shared" ref="T11" si="34">T10-T12</f>
        <v>99</v>
      </c>
      <c r="U11" s="20">
        <f t="shared" ref="U11" si="35">U10-U12</f>
        <v>463</v>
      </c>
      <c r="V11" s="20">
        <f t="shared" ref="V11" si="36">V10-V12</f>
        <v>50</v>
      </c>
      <c r="W11" s="20">
        <f t="shared" ref="W11" si="37">W10-W12</f>
        <v>37</v>
      </c>
      <c r="X11" s="20">
        <f t="shared" ref="X11" si="38">X10-X12</f>
        <v>149</v>
      </c>
    </row>
    <row r="12" spans="2:24" x14ac:dyDescent="0.15">
      <c r="B12" s="22"/>
      <c r="C12" s="9" t="s">
        <v>2</v>
      </c>
      <c r="D12" s="15">
        <f>SUM($F$12:$X$12)</f>
        <v>10</v>
      </c>
      <c r="E12" s="9"/>
      <c r="F12" s="9">
        <v>0</v>
      </c>
      <c r="G12" s="9">
        <v>0</v>
      </c>
      <c r="H12" s="9">
        <v>2</v>
      </c>
      <c r="I12" s="9">
        <v>1</v>
      </c>
      <c r="J12" s="9">
        <v>0</v>
      </c>
      <c r="K12" s="9">
        <v>0</v>
      </c>
      <c r="L12" s="9">
        <v>3</v>
      </c>
      <c r="M12" s="9">
        <v>0</v>
      </c>
      <c r="N12" s="9">
        <v>1</v>
      </c>
      <c r="O12" s="9">
        <v>0</v>
      </c>
      <c r="P12" s="9">
        <v>0</v>
      </c>
      <c r="Q12" s="9">
        <v>0</v>
      </c>
      <c r="R12" s="9">
        <v>2</v>
      </c>
      <c r="S12" s="9">
        <v>0</v>
      </c>
      <c r="T12" s="9">
        <v>0</v>
      </c>
      <c r="U12" s="9">
        <v>0</v>
      </c>
      <c r="V12" s="9">
        <v>0</v>
      </c>
      <c r="W12" s="9">
        <v>0</v>
      </c>
      <c r="X12" s="9">
        <v>1</v>
      </c>
    </row>
    <row r="13" spans="2:24" x14ac:dyDescent="0.15">
      <c r="B13" s="16"/>
      <c r="C13" s="17" t="s">
        <v>3</v>
      </c>
      <c r="D13" s="18">
        <f>SUM($F$13:$X$13)</f>
        <v>5</v>
      </c>
      <c r="E13" s="17"/>
      <c r="F13" s="25">
        <v>0</v>
      </c>
      <c r="G13" s="25">
        <v>0</v>
      </c>
      <c r="H13" s="25">
        <v>0</v>
      </c>
      <c r="I13" s="25">
        <v>0</v>
      </c>
      <c r="J13" s="25">
        <v>0</v>
      </c>
      <c r="K13" s="25">
        <v>0</v>
      </c>
      <c r="L13" s="25">
        <v>0</v>
      </c>
      <c r="M13" s="25">
        <v>0</v>
      </c>
      <c r="N13" s="25">
        <v>5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U13" s="25">
        <v>0</v>
      </c>
      <c r="V13" s="25">
        <v>0</v>
      </c>
      <c r="W13" s="25">
        <v>0</v>
      </c>
      <c r="X13" s="25">
        <v>0</v>
      </c>
    </row>
  </sheetData>
  <mergeCells count="3">
    <mergeCell ref="B4:B6"/>
    <mergeCell ref="B7:B9"/>
    <mergeCell ref="B10:B12"/>
  </mergeCells>
  <phoneticPr fontId="2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集計ファイル作成">
                <anchor moveWithCells="1" sizeWithCells="1">
                  <from>
                    <xdr:col>1</xdr:col>
                    <xdr:colOff>0</xdr:colOff>
                    <xdr:row>2</xdr:row>
                    <xdr:rowOff>771525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7818-7017-4422-85E3-26FD07A2449A}">
  <sheetPr codeName="Sheet2"/>
  <dimension ref="B5:B6"/>
  <sheetViews>
    <sheetView workbookViewId="0">
      <selection activeCell="B7" sqref="B7"/>
    </sheetView>
  </sheetViews>
  <sheetFormatPr defaultRowHeight="13.5" x14ac:dyDescent="0.15"/>
  <sheetData>
    <row r="5" spans="2:2" x14ac:dyDescent="0.15">
      <c r="B5" t="s">
        <v>28</v>
      </c>
    </row>
    <row r="6" spans="2:2" x14ac:dyDescent="0.15">
      <c r="B6" t="s">
        <v>29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製品群1_月次集計</vt:lpstr>
      <vt:lpstr>使い方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takahiro chiba</dc:creator>
  <cp:lastModifiedBy>takahiro chiba</cp:lastModifiedBy>
  <cp:lastPrinted>2025-10-03T04:02:53Z</cp:lastPrinted>
  <dcterms:created xsi:type="dcterms:W3CDTF">2023-11-21T06:46:32Z</dcterms:created>
  <dcterms:modified xsi:type="dcterms:W3CDTF">2025-10-06T07:22:55Z</dcterms:modified>
</cp:coreProperties>
</file>